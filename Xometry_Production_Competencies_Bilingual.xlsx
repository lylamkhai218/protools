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D:\T&amp;TVina\protools\"/>
    </mc:Choice>
  </mc:AlternateContent>
  <xr:revisionPtr revIDLastSave="0" documentId="13_ncr:1_{F81D5B8B-6DE3-4547-A36F-9ADC5B62AEB5}" xr6:coauthVersionLast="47" xr6:coauthVersionMax="47" xr10:uidLastSave="{00000000-0000-0000-0000-000000000000}"/>
  <bookViews>
    <workbookView xWindow="-120" yWindow="-120" windowWidth="29040" windowHeight="15720" xr2:uid="{00000000-000D-0000-FFFF-FFFF00000000}"/>
  </bookViews>
  <sheets>
    <sheet name="Xometry Competencies Survey"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1" l="1"/>
  <c r="C5" i="1"/>
  <c r="A5" i="1"/>
</calcChain>
</file>

<file path=xl/sharedStrings.xml><?xml version="1.0" encoding="utf-8"?>
<sst xmlns="http://schemas.openxmlformats.org/spreadsheetml/2006/main" count="241" uniqueCount="138">
  <si>
    <t>BẢNG KHẢO SÁT NĂNG LỰC SẢN XUẤT (XOMETRY PARTNER ONBOARDING)</t>
  </si>
  <si>
    <t>Dành cho Giám đốc Sản xuất / Trưởng phòng Kỹ thuật rà soát &amp; tích chọn năng lực thực tế để khớp đơn hàng Xometry Partner Network</t>
  </si>
  <si>
    <t>TỔNG NĂNG LỰC KHẢO SÁT</t>
  </si>
  <si>
    <t>NĂNG LỰC ĐANG ĐẦU TƯ / OUTSOURCE</t>
  </si>
  <si>
    <t>NGƯỜI ĐÁNH GIÁ &amp; NGÀY RÀ SOÁT</t>
  </si>
  <si>
    <t>GĐ Sản xuất: ........................ | Ngày: ..../..../2026</t>
  </si>
  <si>
    <t>STT</t>
  </si>
  <si>
    <t>Nhóm công nghệ
(Category)</t>
  </si>
  <si>
    <t>Phương pháp sản xuất
(Production Method - EN)</t>
  </si>
  <si>
    <t>Dịch nghĩa kỹ thuật &amp; Diễn giải
(Technical Translation - VN)</t>
  </si>
  <si>
    <t>LỰA CHỌN
(Selection)</t>
  </si>
  <si>
    <t>Quy mô máy móc / Công suất hiện có
(Machine Model / Specs / Bed Size)</t>
  </si>
  <si>
    <t>Dung sai / Tiêu chuẩn đạt được
(Tolerance / ISO Standards)</t>
  </si>
  <si>
    <t>Ghi chú của GĐ Sản xuất
(Production Notes)</t>
  </si>
  <si>
    <t>1. CNC MACHINING (GIA CÔNG CƠ KHÍ CHÍNH XÁC CNC)</t>
  </si>
  <si>
    <t>CNC</t>
  </si>
  <si>
    <t>Milling</t>
  </si>
  <si>
    <t>Phay CNC 3 trục / 4 trục (Vertical / Horizontal Machining Center)</t>
  </si>
  <si>
    <t>☐ KHÔNG (Chưa làm)</t>
  </si>
  <si>
    <t>Milling 5 axes</t>
  </si>
  <si>
    <t>Phay CNC 5 trục đồng thời / 3+2 trục chính xác cao</t>
  </si>
  <si>
    <t>Milling mass</t>
  </si>
  <si>
    <t>Phay sản xuất hàng loạt / khối lượng lớn (Mass Production)</t>
  </si>
  <si>
    <t>Turning</t>
  </si>
  <si>
    <t>Tiện CNC tiêu chuẩn (2 trục X, Z)</t>
  </si>
  <si>
    <t>Turning 2+ axes</t>
  </si>
  <si>
    <t>Tiện CNC đa trục (Tiện phay kết hợp Live Tooling / C-axis, Y-axis)</t>
  </si>
  <si>
    <t>Turning Automat</t>
  </si>
  <si>
    <t>Tiện đùn tự động kiểu Thụy Sĩ (Swiss Lathe / Auto Screw Machining)</t>
  </si>
  <si>
    <t>Grinding</t>
  </si>
  <si>
    <t>Mài chính xác (Mài phẳng Surface, mài tròn Cylindrical, mài vô tâm)</t>
  </si>
  <si>
    <t>Polishing</t>
  </si>
  <si>
    <t>Đánh bóng cơ học / Hoàn thiện bóng gương bề mặt chi tiết</t>
  </si>
  <si>
    <t>Slotting</t>
  </si>
  <si>
    <t>Xọc rãnh then / Cắt rãnh kỹ thuật (Slotting / Broaching)</t>
  </si>
  <si>
    <t>Liner Honing</t>
  </si>
  <si>
    <t>Doa chính xác / Đánh bóng honing lòng xi lanh, ống lót</t>
  </si>
  <si>
    <t>Thread Rolling</t>
  </si>
  <si>
    <t>Cán ren / Lăn ren áp lực cao (Độ bền ren vượt trội)</t>
  </si>
  <si>
    <t>2. SHEET METAL &amp; FABRICATION (GIA CÔNG &amp; ĐỊNH HÌNH KIM LOẠI TẤM)</t>
  </si>
  <si>
    <t>SHEET</t>
  </si>
  <si>
    <t>Laser Cutting</t>
  </si>
  <si>
    <t>Cắt Laser Fiber kim loại tấm (Thép, Inox, Nhôm, Đồng)</t>
  </si>
  <si>
    <t>Waterjet Cutting</t>
  </si>
  <si>
    <t>Cắt tia nước có hạt mài (Cắt kim loại dày, đá, composite, không sinh nhiệt)</t>
  </si>
  <si>
    <t>Plasma/Gas Cutting</t>
  </si>
  <si>
    <t>Cắt Plasma CNC / Cắt Oxy-Gas bản mã thép tấm dày</t>
  </si>
  <si>
    <t>Bending Sheet</t>
  </si>
  <si>
    <t>Chấn / Gập tôn tấm CNC (Press Brake)</t>
  </si>
  <si>
    <t>Bending Tube</t>
  </si>
  <si>
    <t>Uốn ống kim loại định hình (Tube Bending)</t>
  </si>
  <si>
    <t>Bending Wire</t>
  </si>
  <si>
    <t>Uốn dây kim loại / Dây thép định hình CNC (Wire Bending)</t>
  </si>
  <si>
    <t>Bending bar</t>
  </si>
  <si>
    <t>Uốn thanh / Thép hình / Thép cây (Bar Bending)</t>
  </si>
  <si>
    <t>Punching</t>
  </si>
  <si>
    <t>Đột dập CNC kim loại tấm (CNC Turret Punching)</t>
  </si>
  <si>
    <t>Stamping</t>
  </si>
  <si>
    <t>Dập định hình liên hoàn / Dập khuôn khối (Progressive / Deep Draw Stamping)</t>
  </si>
  <si>
    <t>3. CASTING, MOLDING &amp; FORMING (ĐÚC, ÉP PHUN &amp; TẠO HÌNH)</t>
  </si>
  <si>
    <t>CASTING</t>
  </si>
  <si>
    <t>Sand molded casting</t>
  </si>
  <si>
    <t>Đúc khuôn cát (Sand Casting) - Gang, Thép, Hợp kim</t>
  </si>
  <si>
    <t>Metal Injection Molding</t>
  </si>
  <si>
    <t>Ép phun kim loại (MIM) - Chi tiết nhỏ, độ phức tạp cao</t>
  </si>
  <si>
    <t>Compression Molding</t>
  </si>
  <si>
    <t>Ép nén định hình (Cao su, composite, nhựa nhiệt rắn)</t>
  </si>
  <si>
    <t>Investment Casting</t>
  </si>
  <si>
    <t>Đúc mẫu chảy chính xác (Đúc sáp / Mất sáp Lost-wax Casting)</t>
  </si>
  <si>
    <t>Ceramic Injection Molding</t>
  </si>
  <si>
    <t>Ép phun gốm kỹ thuật cao (CIM)</t>
  </si>
  <si>
    <t>LSR Injection Molding</t>
  </si>
  <si>
    <t>Ép phun cao su Silicone lỏng (Liquid Silicone Rubber)</t>
  </si>
  <si>
    <t>Die cutting</t>
  </si>
  <si>
    <t>Bế cắt khuôn định hình (Gioăng, seal, màng nhựa, đệm xốp)</t>
  </si>
  <si>
    <t>Extrusion</t>
  </si>
  <si>
    <t>Đùn ép định hình (Đùn nhôm định hình, đùn nhựa profile)</t>
  </si>
  <si>
    <t>Pressure Forming</t>
  </si>
  <si>
    <t>Tạo hình áp lực cao kim loại / tấm</t>
  </si>
  <si>
    <t>Twin Sheet Forming</t>
  </si>
  <si>
    <t>Định hình nhiệt hai tấm rỗng chân không (Twin Sheet Thermoforming)</t>
  </si>
  <si>
    <t>Injection Molding</t>
  </si>
  <si>
    <t>Ép phun nhựa nhiệt dẻo tiêu chuẩn (Plastic Injection Molding)</t>
  </si>
  <si>
    <t>In-Mold Decoration</t>
  </si>
  <si>
    <t>Trang trí bề mặt trong khuôn đúc (IMD)</t>
  </si>
  <si>
    <t>In-Mold Filming</t>
  </si>
  <si>
    <t>Dán màng hoa văn kỹ thuật trong khuôn (IMF)</t>
  </si>
  <si>
    <t>Die Casting</t>
  </si>
  <si>
    <t>Đúc áp lực cao buồng nóng/buồng lạnh (Nhôm, Kẽm, Magie)</t>
  </si>
  <si>
    <t>Vacuum Casting</t>
  </si>
  <si>
    <t>Đúc hút chân không khuôn silicon (Tạo mẫu nhanh nhựa PU/ABS)</t>
  </si>
  <si>
    <t>Thermoforming</t>
  </si>
  <si>
    <t>Định hình nhiệt chân không tấm nhựa (Thermoforming)</t>
  </si>
  <si>
    <t>Blow Molding</t>
  </si>
  <si>
    <t>Ép thổi rỗng chai, can, thùng chứa (Blow Molding)</t>
  </si>
  <si>
    <t>Foam Molding</t>
  </si>
  <si>
    <t>Đúc tạo hình bọt xốp / Mút định hình (Foam Molding)</t>
  </si>
  <si>
    <t>Vacuum Forming</t>
  </si>
  <si>
    <t>Hút nổi định hình chân không màng mỏng (Vacuum Forming)</t>
  </si>
  <si>
    <t>4. 3D PRINTING &amp; ADDITIVE MANUFACTURING (IN 3D &amp; BỒI ĐẮP)</t>
  </si>
  <si>
    <t>3D</t>
  </si>
  <si>
    <t>3D Printing (SLS)</t>
  </si>
  <si>
    <t>In 3D thiêu kết laser chọn lọc bột nhựa (Selective Laser Sintering - PA12/Nylon)</t>
  </si>
  <si>
    <t>3D Printing (MJF)</t>
  </si>
  <si>
    <t>In 3D công nghệ Multi Jet Fusion (HP MJF - Nhựa kỹ thuật chịu lực)</t>
  </si>
  <si>
    <t>3D Printing (SLA)</t>
  </si>
  <si>
    <t>In 3D quang trùng hợp nhựa lỏng độ mịn cao (Stereolithography - Resin)</t>
  </si>
  <si>
    <t>3D Printing (FDM)</t>
  </si>
  <si>
    <t>In 3D đùn sợi nhựa nhiệt dẻo (Fused Deposition Modeling - PLA/ABS/PETG/PEEK)</t>
  </si>
  <si>
    <t>3D Printing (DLS)</t>
  </si>
  <si>
    <t>In 3D ánh sáng kỹ thuật số siêu tốc (Digital Light Synthesis - Carbon DLS)</t>
  </si>
  <si>
    <t>3D Printing (DMLS)</t>
  </si>
  <si>
    <t>In 3D thiêu kết laser kim loại trực tiếp (Direct Metal Laser Sintering - Inox, Titan, Nhôm)</t>
  </si>
  <si>
    <t>3D Printing (Polyjet)</t>
  </si>
  <si>
    <t>In 3D phun hạt photopolymer đa vật liệu / đa màu sắc (PolyJet)</t>
  </si>
  <si>
    <t>5. OTHER METHODS &amp; FABRICATION (PHƯƠNG PHÁP CHẾ TẠO KHÁC)</t>
  </si>
  <si>
    <t>OTHER</t>
  </si>
  <si>
    <t>Tooth Gear</t>
  </si>
  <si>
    <t>Gia công chế tạo bánh răng (Phay lăn răng Hobbing, xọc răng, mài răng chính xác)</t>
  </si>
  <si>
    <t>EDM</t>
  </si>
  <si>
    <t>Gia công tia lửa điện (Cắt dây Wire-EDM &amp; Xung định hình Die-Sinker EDM)</t>
  </si>
  <si>
    <t>Assembly</t>
  </si>
  <si>
    <t>Lắp ráp cụm chi tiết cơ khí, đóng gói module (Mechanical Assembly)</t>
  </si>
  <si>
    <t>Welding Steel</t>
  </si>
  <si>
    <t>Hàn kết cấu thép (Hàn MIG, MAG, TIG, que hàn tiêu chuẩn)</t>
  </si>
  <si>
    <t>Welding Alu</t>
  </si>
  <si>
    <t>Hàn nhôm và hợp kim nhôm chuyên dụng (AC TIG / Pulse MIG)</t>
  </si>
  <si>
    <t>Welding Stainless Steel</t>
  </si>
  <si>
    <t>Hàn inox / thép không gỉ thẩm mỹ &amp; vi sinh (Sanitary TIG)</t>
  </si>
  <si>
    <t>Molds&amp;Dies</t>
  </si>
  <si>
    <t>Thiết kế &amp; Chế tạo khuôn mẫu chính xác (Khuôn ép nhựa, khuôn dập kim loại)</t>
  </si>
  <si>
    <t>Assembly machining</t>
  </si>
  <si>
    <t>Gia công cơ khí tinh chỉnh sau khi đã lắp ghép cụm chi tiết</t>
  </si>
  <si>
    <t>6. POST PROCESSING &amp; FINISHING (XỬ LÝ BỀ MẶT &amp; HOÀN THIỆN)</t>
  </si>
  <si>
    <t>POST</t>
  </si>
  <si>
    <t>Post Processing</t>
  </si>
  <si>
    <t>Xử lý nhiệt luyện (Tôi, thấm Carbon, ram) &amp; Xử lý bề mặt (Anodize, Xi mạ Niken/Kẽm, Sơn tĩnh điện, Bắn cát Bead Blast)</t>
  </si>
  <si>
    <t>SỐ NĂNG LỰC CÔNG TY ĐẠT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</si>
</sst>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6"/>
      <color rgb="FFFFFFFF"/>
      <name val="Segoe UI"/>
    </font>
    <font>
      <i/>
      <sz val="10"/>
      <color rgb="FFE2E8F0"/>
      <name val="Segoe UI"/>
    </font>
    <font>
      <b/>
      <sz val="9"/>
      <color rgb="FF475569"/>
      <name val="Segoe UI"/>
    </font>
    <font>
      <b/>
      <sz val="14"/>
      <color rgb="FF00478D"/>
      <name val="Segoe UI"/>
    </font>
    <font>
      <b/>
      <sz val="14"/>
      <color rgb="FF15803D"/>
      <name val="Segoe UI"/>
    </font>
    <font>
      <b/>
      <sz val="14"/>
      <color rgb="FFB45309"/>
      <name val="Segoe UI"/>
    </font>
    <font>
      <sz val="9.5"/>
      <name val="Segoe UI"/>
    </font>
    <font>
      <b/>
      <sz val="10"/>
      <color rgb="FFFFFFFF"/>
      <name val="Segoe UI"/>
    </font>
    <font>
      <b/>
      <sz val="11"/>
      <color rgb="FFFFFFFF"/>
      <name val="Segoe UI"/>
    </font>
    <font>
      <b/>
      <sz val="9.5"/>
      <name val="Segoe UI"/>
    </font>
    <font>
      <b/>
      <sz val="9.5"/>
      <color rgb="FF0F172A"/>
      <name val="Segoe UI"/>
    </font>
    <font>
      <sz val="9.5"/>
      <color rgb="FF334155"/>
      <name val="Segoe UI"/>
    </font>
  </fonts>
  <fills count="13">
    <fill>
      <patternFill patternType="none"/>
    </fill>
    <fill>
      <patternFill patternType="gray125"/>
    </fill>
    <fill>
      <patternFill patternType="solid">
        <fgColor rgb="FF003366"/>
        <bgColor rgb="FF003366"/>
      </patternFill>
    </fill>
    <fill>
      <patternFill patternType="solid">
        <fgColor rgb="FFEBF2FA"/>
        <bgColor rgb="FFEBF2FA"/>
      </patternFill>
    </fill>
    <fill>
      <patternFill patternType="solid">
        <fgColor rgb="FF00478D"/>
        <bgColor rgb="FF00478D"/>
      </patternFill>
    </fill>
    <fill>
      <patternFill patternType="solid">
        <fgColor rgb="FF1E3A8A"/>
        <bgColor rgb="FF1E3A8A"/>
      </patternFill>
    </fill>
    <fill>
      <patternFill patternType="solid">
        <fgColor rgb="FFFFFFFF"/>
        <bgColor rgb="FFFFFFFF"/>
      </patternFill>
    </fill>
    <fill>
      <patternFill patternType="solid">
        <fgColor rgb="FFF8FAFC"/>
        <bgColor rgb="FFF8FAFC"/>
      </patternFill>
    </fill>
    <fill>
      <patternFill patternType="solid">
        <fgColor rgb="FF0369A1"/>
        <bgColor rgb="FF0369A1"/>
      </patternFill>
    </fill>
    <fill>
      <patternFill patternType="solid">
        <fgColor rgb="FF0F766E"/>
        <bgColor rgb="FF0F766E"/>
      </patternFill>
    </fill>
    <fill>
      <patternFill patternType="solid">
        <fgColor rgb="FF7E22CE"/>
        <bgColor rgb="FF7E22CE"/>
      </patternFill>
    </fill>
    <fill>
      <patternFill patternType="solid">
        <fgColor rgb="FFC2410C"/>
        <bgColor rgb="FFC2410C"/>
      </patternFill>
    </fill>
    <fill>
      <patternFill patternType="solid">
        <fgColor rgb="FF475569"/>
        <bgColor rgb="FF475569"/>
      </patternFill>
    </fill>
  </fills>
  <borders count="3">
    <border>
      <left/>
      <right/>
      <top/>
      <bottom/>
      <diagonal/>
    </border>
    <border>
      <left style="thin">
        <color rgb="FFCBD5E1"/>
      </left>
      <right style="thin">
        <color rgb="FFCBD5E1"/>
      </right>
      <top style="thin">
        <color rgb="FFCBD5E1"/>
      </top>
      <bottom style="thin">
        <color rgb="FFCBD5E1"/>
      </bottom>
      <diagonal/>
    </border>
    <border>
      <left style="thin">
        <color rgb="FFCBD5E1"/>
      </left>
      <right style="thin">
        <color rgb="FFCBD5E1"/>
      </right>
      <top style="thin">
        <color rgb="FFCBD5E1"/>
      </top>
      <bottom style="medium">
        <color rgb="FF003366"/>
      </bottom>
      <diagonal/>
    </border>
  </borders>
  <cellStyleXfs count="1">
    <xf numFmtId="0" fontId="0" fillId="0" borderId="0"/>
  </cellStyleXfs>
  <cellXfs count="25">
    <xf numFmtId="0" fontId="0" fillId="0" borderId="0" xfId="0"/>
    <xf numFmtId="0" fontId="8" fillId="4" borderId="2" xfId="0" applyFont="1" applyFill="1" applyBorder="1" applyAlignment="1">
      <alignment horizontal="center" vertical="center" wrapText="1"/>
    </xf>
    <xf numFmtId="0" fontId="10" fillId="6" borderId="1" xfId="0" applyFont="1" applyFill="1" applyBorder="1" applyAlignment="1">
      <alignment horizontal="center" vertical="center"/>
    </xf>
    <xf numFmtId="0" fontId="11" fillId="6" borderId="1" xfId="0" applyFont="1" applyFill="1" applyBorder="1" applyAlignment="1">
      <alignment horizontal="left" vertical="center"/>
    </xf>
    <xf numFmtId="0" fontId="12" fillId="6" borderId="1" xfId="0" applyFont="1" applyFill="1" applyBorder="1" applyAlignment="1">
      <alignment horizontal="left" vertical="center" wrapText="1"/>
    </xf>
    <xf numFmtId="0" fontId="7" fillId="6" borderId="1" xfId="0" applyFont="1" applyFill="1" applyBorder="1" applyAlignment="1">
      <alignment horizontal="left" vertical="center"/>
    </xf>
    <xf numFmtId="0" fontId="10" fillId="7" borderId="1" xfId="0" applyFont="1" applyFill="1" applyBorder="1" applyAlignment="1">
      <alignment horizontal="center" vertical="center"/>
    </xf>
    <xf numFmtId="0" fontId="11" fillId="7" borderId="1" xfId="0" applyFont="1" applyFill="1" applyBorder="1" applyAlignment="1">
      <alignment horizontal="left" vertical="center"/>
    </xf>
    <xf numFmtId="0" fontId="12" fillId="7" borderId="1" xfId="0" applyFont="1" applyFill="1" applyBorder="1" applyAlignment="1">
      <alignment horizontal="left" vertical="center" wrapText="1"/>
    </xf>
    <xf numFmtId="0" fontId="7" fillId="7" borderId="1" xfId="0" applyFont="1" applyFill="1" applyBorder="1" applyAlignment="1">
      <alignment horizontal="left" vertical="center"/>
    </xf>
    <xf numFmtId="0" fontId="3" fillId="3" borderId="1" xfId="0" applyFont="1" applyFill="1" applyBorder="1" applyAlignment="1">
      <alignment horizontal="center" vertical="center"/>
    </xf>
    <xf numFmtId="0" fontId="0" fillId="0" borderId="1" xfId="0" applyBorder="1"/>
    <xf numFmtId="0" fontId="9" fillId="10" borderId="1" xfId="0" applyFont="1" applyFill="1" applyBorder="1" applyAlignment="1">
      <alignment horizontal="left" vertical="center" indent="1"/>
    </xf>
    <xf numFmtId="0" fontId="9" fillId="9" borderId="1" xfId="0" applyFont="1" applyFill="1" applyBorder="1" applyAlignment="1">
      <alignment horizontal="left" vertical="center" indent="1"/>
    </xf>
    <xf numFmtId="0" fontId="9" fillId="12" borderId="1" xfId="0" applyFont="1" applyFill="1" applyBorder="1" applyAlignment="1">
      <alignment horizontal="left" vertical="center" indent="1"/>
    </xf>
    <xf numFmtId="0" fontId="9" fillId="8" borderId="1" xfId="0" applyFont="1" applyFill="1" applyBorder="1" applyAlignment="1">
      <alignment horizontal="left" vertical="center" indent="1"/>
    </xf>
    <xf numFmtId="0" fontId="2" fillId="2" borderId="0" xfId="0" applyFont="1" applyFill="1" applyAlignment="1">
      <alignment horizontal="center" vertical="center"/>
    </xf>
    <xf numFmtId="0" fontId="0" fillId="0" borderId="0" xfId="0"/>
    <xf numFmtId="0" fontId="5" fillId="3" borderId="1" xfId="0" applyFont="1" applyFill="1" applyBorder="1" applyAlignment="1">
      <alignment horizontal="center" vertical="center"/>
    </xf>
    <xf numFmtId="0" fontId="4" fillId="3" borderId="1" xfId="0" applyFont="1" applyFill="1" applyBorder="1" applyAlignment="1">
      <alignment horizontal="center" vertical="center"/>
    </xf>
    <xf numFmtId="0" fontId="7" fillId="3" borderId="1" xfId="0" applyFont="1" applyFill="1" applyBorder="1" applyAlignment="1">
      <alignment horizontal="center" vertical="center"/>
    </xf>
    <xf numFmtId="0" fontId="6" fillId="3" borderId="1" xfId="0" applyFont="1" applyFill="1" applyBorder="1" applyAlignment="1">
      <alignment horizontal="center" vertical="center"/>
    </xf>
    <xf numFmtId="0" fontId="1" fillId="2" borderId="0" xfId="0" applyFont="1" applyFill="1" applyAlignment="1">
      <alignment horizontal="center" vertical="center"/>
    </xf>
    <xf numFmtId="0" fontId="9" fillId="5" borderId="1" xfId="0" applyFont="1" applyFill="1" applyBorder="1" applyAlignment="1">
      <alignment horizontal="left" vertical="center" indent="1"/>
    </xf>
    <xf numFmtId="0" fontId="9" fillId="11" borderId="1" xfId="0" applyFont="1" applyFill="1" applyBorder="1" applyAlignment="1">
      <alignment horizontal="left" vertical="center"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8"/>
  <sheetViews>
    <sheetView tabSelected="1" workbookViewId="0">
      <pane ySplit="7" topLeftCell="A8" activePane="bottomLeft" state="frozen"/>
      <selection pane="bottomLeft" activeCell="F11" sqref="F11"/>
    </sheetView>
  </sheetViews>
  <sheetFormatPr defaultRowHeight="15" x14ac:dyDescent="0.25"/>
  <cols>
    <col min="1" max="1" width="6" customWidth="1"/>
    <col min="2" max="2" width="22" customWidth="1"/>
    <col min="3" max="3" width="30" customWidth="1"/>
    <col min="4" max="4" width="42" customWidth="1"/>
    <col min="5" max="5" width="24" customWidth="1"/>
    <col min="6" max="6" width="38" customWidth="1"/>
    <col min="7" max="7" width="28" customWidth="1"/>
    <col min="8" max="8" width="30" customWidth="1"/>
  </cols>
  <sheetData>
    <row r="1" spans="1:8" ht="36" customHeight="1" x14ac:dyDescent="0.25">
      <c r="A1" s="22" t="s">
        <v>0</v>
      </c>
      <c r="B1" s="17"/>
      <c r="C1" s="17"/>
      <c r="D1" s="17"/>
      <c r="E1" s="17"/>
      <c r="F1" s="17"/>
      <c r="G1" s="17"/>
      <c r="H1" s="17"/>
    </row>
    <row r="2" spans="1:8" ht="20.100000000000001" customHeight="1" x14ac:dyDescent="0.25">
      <c r="A2" s="16" t="s">
        <v>1</v>
      </c>
      <c r="B2" s="17"/>
      <c r="C2" s="17"/>
      <c r="D2" s="17"/>
      <c r="E2" s="17"/>
      <c r="F2" s="17"/>
      <c r="G2" s="17"/>
      <c r="H2" s="17"/>
    </row>
    <row r="4" spans="1:8" ht="21.95" customHeight="1" x14ac:dyDescent="0.25">
      <c r="A4" s="10" t="s">
        <v>2</v>
      </c>
      <c r="B4" s="11"/>
      <c r="C4" s="10" t="s">
        <v>137</v>
      </c>
      <c r="D4" s="11"/>
      <c r="E4" s="10" t="s">
        <v>3</v>
      </c>
      <c r="F4" s="11"/>
      <c r="G4" s="10" t="s">
        <v>4</v>
      </c>
      <c r="H4" s="11"/>
    </row>
    <row r="5" spans="1:8" ht="21.95" customHeight="1" x14ac:dyDescent="0.25">
      <c r="A5" s="19">
        <f>COUNTA(C8:C70)-6</f>
        <v>49</v>
      </c>
      <c r="B5" s="11"/>
      <c r="C5" s="18">
        <f>COUNTIF(E8:E70, "*ĐẠT*")</f>
        <v>0</v>
      </c>
      <c r="D5" s="11"/>
      <c r="E5" s="21">
        <f>COUNTIF(E8:E70, "*ĐẦU TƯ*") + COUNTIF(E8:E70, "*LIÊN KẾT*")</f>
        <v>0</v>
      </c>
      <c r="F5" s="11"/>
      <c r="G5" s="20" t="s">
        <v>5</v>
      </c>
      <c r="H5" s="11"/>
    </row>
    <row r="7" spans="1:8" ht="32.1" customHeight="1" x14ac:dyDescent="0.25">
      <c r="A7" s="1" t="s">
        <v>6</v>
      </c>
      <c r="B7" s="1" t="s">
        <v>7</v>
      </c>
      <c r="C7" s="1" t="s">
        <v>8</v>
      </c>
      <c r="D7" s="1" t="s">
        <v>9</v>
      </c>
      <c r="E7" s="1" t="s">
        <v>10</v>
      </c>
      <c r="F7" s="1" t="s">
        <v>11</v>
      </c>
      <c r="G7" s="1" t="s">
        <v>12</v>
      </c>
      <c r="H7" s="1" t="s">
        <v>13</v>
      </c>
    </row>
    <row r="8" spans="1:8" ht="26.1" customHeight="1" x14ac:dyDescent="0.25">
      <c r="A8" s="23" t="s">
        <v>14</v>
      </c>
      <c r="B8" s="11"/>
      <c r="C8" s="11"/>
      <c r="D8" s="11"/>
      <c r="E8" s="11"/>
      <c r="F8" s="11"/>
      <c r="G8" s="11"/>
      <c r="H8" s="11"/>
    </row>
    <row r="9" spans="1:8" ht="24" customHeight="1" x14ac:dyDescent="0.25">
      <c r="A9" s="2">
        <v>1</v>
      </c>
      <c r="B9" s="2" t="s">
        <v>15</v>
      </c>
      <c r="C9" s="3" t="s">
        <v>16</v>
      </c>
      <c r="D9" s="4" t="s">
        <v>17</v>
      </c>
      <c r="E9" s="2" t="s">
        <v>18</v>
      </c>
      <c r="F9" s="5"/>
      <c r="G9" s="5"/>
      <c r="H9" s="5"/>
    </row>
    <row r="10" spans="1:8" ht="24" customHeight="1" x14ac:dyDescent="0.25">
      <c r="A10" s="6">
        <v>2</v>
      </c>
      <c r="B10" s="6" t="s">
        <v>15</v>
      </c>
      <c r="C10" s="7" t="s">
        <v>19</v>
      </c>
      <c r="D10" s="8" t="s">
        <v>20</v>
      </c>
      <c r="E10" s="6" t="s">
        <v>18</v>
      </c>
      <c r="F10" s="9"/>
      <c r="G10" s="9"/>
      <c r="H10" s="9"/>
    </row>
    <row r="11" spans="1:8" ht="24" customHeight="1" x14ac:dyDescent="0.25">
      <c r="A11" s="2">
        <v>3</v>
      </c>
      <c r="B11" s="2" t="s">
        <v>15</v>
      </c>
      <c r="C11" s="3" t="s">
        <v>21</v>
      </c>
      <c r="D11" s="4" t="s">
        <v>22</v>
      </c>
      <c r="E11" s="2" t="s">
        <v>18</v>
      </c>
      <c r="F11" s="5"/>
      <c r="G11" s="5"/>
      <c r="H11" s="5"/>
    </row>
    <row r="12" spans="1:8" ht="24" customHeight="1" x14ac:dyDescent="0.25">
      <c r="A12" s="6">
        <v>4</v>
      </c>
      <c r="B12" s="6" t="s">
        <v>15</v>
      </c>
      <c r="C12" s="7" t="s">
        <v>23</v>
      </c>
      <c r="D12" s="8" t="s">
        <v>24</v>
      </c>
      <c r="E12" s="6" t="s">
        <v>18</v>
      </c>
      <c r="F12" s="9"/>
      <c r="G12" s="9"/>
      <c r="H12" s="9"/>
    </row>
    <row r="13" spans="1:8" ht="24" customHeight="1" x14ac:dyDescent="0.25">
      <c r="A13" s="2">
        <v>5</v>
      </c>
      <c r="B13" s="2" t="s">
        <v>15</v>
      </c>
      <c r="C13" s="3" t="s">
        <v>25</v>
      </c>
      <c r="D13" s="4" t="s">
        <v>26</v>
      </c>
      <c r="E13" s="2" t="s">
        <v>18</v>
      </c>
      <c r="F13" s="5"/>
      <c r="G13" s="5"/>
      <c r="H13" s="5"/>
    </row>
    <row r="14" spans="1:8" ht="24" customHeight="1" x14ac:dyDescent="0.25">
      <c r="A14" s="6">
        <v>6</v>
      </c>
      <c r="B14" s="6" t="s">
        <v>15</v>
      </c>
      <c r="C14" s="7" t="s">
        <v>27</v>
      </c>
      <c r="D14" s="8" t="s">
        <v>28</v>
      </c>
      <c r="E14" s="6" t="s">
        <v>18</v>
      </c>
      <c r="F14" s="9"/>
      <c r="G14" s="9"/>
      <c r="H14" s="9"/>
    </row>
    <row r="15" spans="1:8" ht="24" customHeight="1" x14ac:dyDescent="0.25">
      <c r="A15" s="2">
        <v>7</v>
      </c>
      <c r="B15" s="2" t="s">
        <v>15</v>
      </c>
      <c r="C15" s="3" t="s">
        <v>29</v>
      </c>
      <c r="D15" s="4" t="s">
        <v>30</v>
      </c>
      <c r="E15" s="2" t="s">
        <v>18</v>
      </c>
      <c r="F15" s="5"/>
      <c r="G15" s="5"/>
      <c r="H15" s="5"/>
    </row>
    <row r="16" spans="1:8" ht="24" customHeight="1" x14ac:dyDescent="0.25">
      <c r="A16" s="6">
        <v>8</v>
      </c>
      <c r="B16" s="6" t="s">
        <v>15</v>
      </c>
      <c r="C16" s="7" t="s">
        <v>31</v>
      </c>
      <c r="D16" s="8" t="s">
        <v>32</v>
      </c>
      <c r="E16" s="6" t="s">
        <v>18</v>
      </c>
      <c r="F16" s="9"/>
      <c r="G16" s="9"/>
      <c r="H16" s="9"/>
    </row>
    <row r="17" spans="1:8" ht="24" customHeight="1" x14ac:dyDescent="0.25">
      <c r="A17" s="2">
        <v>9</v>
      </c>
      <c r="B17" s="2" t="s">
        <v>15</v>
      </c>
      <c r="C17" s="3" t="s">
        <v>33</v>
      </c>
      <c r="D17" s="4" t="s">
        <v>34</v>
      </c>
      <c r="E17" s="2" t="s">
        <v>18</v>
      </c>
      <c r="F17" s="5"/>
      <c r="G17" s="5"/>
      <c r="H17" s="5"/>
    </row>
    <row r="18" spans="1:8" ht="24" customHeight="1" x14ac:dyDescent="0.25">
      <c r="A18" s="6">
        <v>10</v>
      </c>
      <c r="B18" s="6" t="s">
        <v>15</v>
      </c>
      <c r="C18" s="7" t="s">
        <v>35</v>
      </c>
      <c r="D18" s="8" t="s">
        <v>36</v>
      </c>
      <c r="E18" s="6" t="s">
        <v>18</v>
      </c>
      <c r="F18" s="9"/>
      <c r="G18" s="9"/>
      <c r="H18" s="9"/>
    </row>
    <row r="19" spans="1:8" ht="24" customHeight="1" x14ac:dyDescent="0.25">
      <c r="A19" s="2">
        <v>11</v>
      </c>
      <c r="B19" s="2" t="s">
        <v>15</v>
      </c>
      <c r="C19" s="3" t="s">
        <v>37</v>
      </c>
      <c r="D19" s="4" t="s">
        <v>38</v>
      </c>
      <c r="E19" s="2" t="s">
        <v>18</v>
      </c>
      <c r="F19" s="5"/>
      <c r="G19" s="5"/>
      <c r="H19" s="5"/>
    </row>
    <row r="20" spans="1:8" ht="26.1" customHeight="1" x14ac:dyDescent="0.25">
      <c r="A20" s="15" t="s">
        <v>39</v>
      </c>
      <c r="B20" s="11"/>
      <c r="C20" s="11"/>
      <c r="D20" s="11"/>
      <c r="E20" s="11"/>
      <c r="F20" s="11"/>
      <c r="G20" s="11"/>
      <c r="H20" s="11"/>
    </row>
    <row r="21" spans="1:8" ht="24" customHeight="1" x14ac:dyDescent="0.25">
      <c r="A21" s="6">
        <v>12</v>
      </c>
      <c r="B21" s="6" t="s">
        <v>40</v>
      </c>
      <c r="C21" s="7" t="s">
        <v>41</v>
      </c>
      <c r="D21" s="8" t="s">
        <v>42</v>
      </c>
      <c r="E21" s="6" t="s">
        <v>18</v>
      </c>
      <c r="F21" s="9"/>
      <c r="G21" s="9"/>
      <c r="H21" s="9"/>
    </row>
    <row r="22" spans="1:8" ht="24" customHeight="1" x14ac:dyDescent="0.25">
      <c r="A22" s="2">
        <v>13</v>
      </c>
      <c r="B22" s="2" t="s">
        <v>40</v>
      </c>
      <c r="C22" s="3" t="s">
        <v>43</v>
      </c>
      <c r="D22" s="4" t="s">
        <v>44</v>
      </c>
      <c r="E22" s="2" t="s">
        <v>18</v>
      </c>
      <c r="F22" s="5"/>
      <c r="G22" s="5"/>
      <c r="H22" s="5"/>
    </row>
    <row r="23" spans="1:8" ht="24" customHeight="1" x14ac:dyDescent="0.25">
      <c r="A23" s="6">
        <v>14</v>
      </c>
      <c r="B23" s="6" t="s">
        <v>40</v>
      </c>
      <c r="C23" s="7" t="s">
        <v>45</v>
      </c>
      <c r="D23" s="8" t="s">
        <v>46</v>
      </c>
      <c r="E23" s="6" t="s">
        <v>18</v>
      </c>
      <c r="F23" s="9"/>
      <c r="G23" s="9"/>
      <c r="H23" s="9"/>
    </row>
    <row r="24" spans="1:8" ht="24" customHeight="1" x14ac:dyDescent="0.25">
      <c r="A24" s="2">
        <v>15</v>
      </c>
      <c r="B24" s="2" t="s">
        <v>40</v>
      </c>
      <c r="C24" s="3" t="s">
        <v>47</v>
      </c>
      <c r="D24" s="4" t="s">
        <v>48</v>
      </c>
      <c r="E24" s="2" t="s">
        <v>18</v>
      </c>
      <c r="F24" s="5"/>
      <c r="G24" s="5"/>
      <c r="H24" s="5"/>
    </row>
    <row r="25" spans="1:8" ht="24" customHeight="1" x14ac:dyDescent="0.25">
      <c r="A25" s="6">
        <v>16</v>
      </c>
      <c r="B25" s="6" t="s">
        <v>40</v>
      </c>
      <c r="C25" s="7" t="s">
        <v>49</v>
      </c>
      <c r="D25" s="8" t="s">
        <v>50</v>
      </c>
      <c r="E25" s="6" t="s">
        <v>18</v>
      </c>
      <c r="F25" s="9"/>
      <c r="G25" s="9"/>
      <c r="H25" s="9"/>
    </row>
    <row r="26" spans="1:8" ht="24" customHeight="1" x14ac:dyDescent="0.25">
      <c r="A26" s="2">
        <v>17</v>
      </c>
      <c r="B26" s="2" t="s">
        <v>40</v>
      </c>
      <c r="C26" s="3" t="s">
        <v>51</v>
      </c>
      <c r="D26" s="4" t="s">
        <v>52</v>
      </c>
      <c r="E26" s="2" t="s">
        <v>18</v>
      </c>
      <c r="F26" s="5"/>
      <c r="G26" s="5"/>
      <c r="H26" s="5"/>
    </row>
    <row r="27" spans="1:8" ht="24" customHeight="1" x14ac:dyDescent="0.25">
      <c r="A27" s="6">
        <v>18</v>
      </c>
      <c r="B27" s="6" t="s">
        <v>40</v>
      </c>
      <c r="C27" s="7" t="s">
        <v>53</v>
      </c>
      <c r="D27" s="8" t="s">
        <v>54</v>
      </c>
      <c r="E27" s="6" t="s">
        <v>18</v>
      </c>
      <c r="F27" s="9"/>
      <c r="G27" s="9"/>
      <c r="H27" s="9"/>
    </row>
    <row r="28" spans="1:8" ht="24" customHeight="1" x14ac:dyDescent="0.25">
      <c r="A28" s="2">
        <v>19</v>
      </c>
      <c r="B28" s="2" t="s">
        <v>40</v>
      </c>
      <c r="C28" s="3" t="s">
        <v>55</v>
      </c>
      <c r="D28" s="4" t="s">
        <v>56</v>
      </c>
      <c r="E28" s="2" t="s">
        <v>18</v>
      </c>
      <c r="F28" s="5"/>
      <c r="G28" s="5"/>
      <c r="H28" s="5"/>
    </row>
    <row r="29" spans="1:8" ht="24" customHeight="1" x14ac:dyDescent="0.25">
      <c r="A29" s="6">
        <v>20</v>
      </c>
      <c r="B29" s="6" t="s">
        <v>40</v>
      </c>
      <c r="C29" s="7" t="s">
        <v>57</v>
      </c>
      <c r="D29" s="8" t="s">
        <v>58</v>
      </c>
      <c r="E29" s="6" t="s">
        <v>18</v>
      </c>
      <c r="F29" s="9"/>
      <c r="G29" s="9"/>
      <c r="H29" s="9"/>
    </row>
    <row r="30" spans="1:8" ht="26.1" customHeight="1" x14ac:dyDescent="0.25">
      <c r="A30" s="13" t="s">
        <v>59</v>
      </c>
      <c r="B30" s="11"/>
      <c r="C30" s="11"/>
      <c r="D30" s="11"/>
      <c r="E30" s="11"/>
      <c r="F30" s="11"/>
      <c r="G30" s="11"/>
      <c r="H30" s="11"/>
    </row>
    <row r="31" spans="1:8" ht="24" customHeight="1" x14ac:dyDescent="0.25">
      <c r="A31" s="2">
        <v>21</v>
      </c>
      <c r="B31" s="2" t="s">
        <v>60</v>
      </c>
      <c r="C31" s="3" t="s">
        <v>61</v>
      </c>
      <c r="D31" s="4" t="s">
        <v>62</v>
      </c>
      <c r="E31" s="2" t="s">
        <v>18</v>
      </c>
      <c r="F31" s="5"/>
      <c r="G31" s="5"/>
      <c r="H31" s="5"/>
    </row>
    <row r="32" spans="1:8" ht="24" customHeight="1" x14ac:dyDescent="0.25">
      <c r="A32" s="6">
        <v>22</v>
      </c>
      <c r="B32" s="6" t="s">
        <v>60</v>
      </c>
      <c r="C32" s="7" t="s">
        <v>63</v>
      </c>
      <c r="D32" s="8" t="s">
        <v>64</v>
      </c>
      <c r="E32" s="6" t="s">
        <v>18</v>
      </c>
      <c r="F32" s="9"/>
      <c r="G32" s="9"/>
      <c r="H32" s="9"/>
    </row>
    <row r="33" spans="1:8" ht="24" customHeight="1" x14ac:dyDescent="0.25">
      <c r="A33" s="2">
        <v>23</v>
      </c>
      <c r="B33" s="2" t="s">
        <v>60</v>
      </c>
      <c r="C33" s="3" t="s">
        <v>65</v>
      </c>
      <c r="D33" s="4" t="s">
        <v>66</v>
      </c>
      <c r="E33" s="2" t="s">
        <v>18</v>
      </c>
      <c r="F33" s="5"/>
      <c r="G33" s="5"/>
      <c r="H33" s="5"/>
    </row>
    <row r="34" spans="1:8" ht="24" customHeight="1" x14ac:dyDescent="0.25">
      <c r="A34" s="6">
        <v>24</v>
      </c>
      <c r="B34" s="6" t="s">
        <v>60</v>
      </c>
      <c r="C34" s="7" t="s">
        <v>67</v>
      </c>
      <c r="D34" s="8" t="s">
        <v>68</v>
      </c>
      <c r="E34" s="6" t="s">
        <v>18</v>
      </c>
      <c r="F34" s="9"/>
      <c r="G34" s="9"/>
      <c r="H34" s="9"/>
    </row>
    <row r="35" spans="1:8" ht="24" customHeight="1" x14ac:dyDescent="0.25">
      <c r="A35" s="2">
        <v>25</v>
      </c>
      <c r="B35" s="2" t="s">
        <v>60</v>
      </c>
      <c r="C35" s="3" t="s">
        <v>69</v>
      </c>
      <c r="D35" s="4" t="s">
        <v>70</v>
      </c>
      <c r="E35" s="2" t="s">
        <v>18</v>
      </c>
      <c r="F35" s="5"/>
      <c r="G35" s="5"/>
      <c r="H35" s="5"/>
    </row>
    <row r="36" spans="1:8" ht="24" customHeight="1" x14ac:dyDescent="0.25">
      <c r="A36" s="6">
        <v>26</v>
      </c>
      <c r="B36" s="6" t="s">
        <v>60</v>
      </c>
      <c r="C36" s="7" t="s">
        <v>71</v>
      </c>
      <c r="D36" s="8" t="s">
        <v>72</v>
      </c>
      <c r="E36" s="6" t="s">
        <v>18</v>
      </c>
      <c r="F36" s="9"/>
      <c r="G36" s="9"/>
      <c r="H36" s="9"/>
    </row>
    <row r="37" spans="1:8" ht="24" customHeight="1" x14ac:dyDescent="0.25">
      <c r="A37" s="2">
        <v>27</v>
      </c>
      <c r="B37" s="2" t="s">
        <v>60</v>
      </c>
      <c r="C37" s="3" t="s">
        <v>73</v>
      </c>
      <c r="D37" s="4" t="s">
        <v>74</v>
      </c>
      <c r="E37" s="2" t="s">
        <v>18</v>
      </c>
      <c r="F37" s="5"/>
      <c r="G37" s="5"/>
      <c r="H37" s="5"/>
    </row>
    <row r="38" spans="1:8" ht="24" customHeight="1" x14ac:dyDescent="0.25">
      <c r="A38" s="6">
        <v>28</v>
      </c>
      <c r="B38" s="6" t="s">
        <v>60</v>
      </c>
      <c r="C38" s="7" t="s">
        <v>75</v>
      </c>
      <c r="D38" s="8" t="s">
        <v>76</v>
      </c>
      <c r="E38" s="6" t="s">
        <v>18</v>
      </c>
      <c r="F38" s="9"/>
      <c r="G38" s="9"/>
      <c r="H38" s="9"/>
    </row>
    <row r="39" spans="1:8" ht="24" customHeight="1" x14ac:dyDescent="0.25">
      <c r="A39" s="2">
        <v>29</v>
      </c>
      <c r="B39" s="2" t="s">
        <v>60</v>
      </c>
      <c r="C39" s="3" t="s">
        <v>77</v>
      </c>
      <c r="D39" s="4" t="s">
        <v>78</v>
      </c>
      <c r="E39" s="2" t="s">
        <v>18</v>
      </c>
      <c r="F39" s="5"/>
      <c r="G39" s="5"/>
      <c r="H39" s="5"/>
    </row>
    <row r="40" spans="1:8" ht="24" customHeight="1" x14ac:dyDescent="0.25">
      <c r="A40" s="6">
        <v>30</v>
      </c>
      <c r="B40" s="6" t="s">
        <v>60</v>
      </c>
      <c r="C40" s="7" t="s">
        <v>79</v>
      </c>
      <c r="D40" s="8" t="s">
        <v>80</v>
      </c>
      <c r="E40" s="6" t="s">
        <v>18</v>
      </c>
      <c r="F40" s="9"/>
      <c r="G40" s="9"/>
      <c r="H40" s="9"/>
    </row>
    <row r="41" spans="1:8" ht="24" customHeight="1" x14ac:dyDescent="0.25">
      <c r="A41" s="2">
        <v>31</v>
      </c>
      <c r="B41" s="2" t="s">
        <v>60</v>
      </c>
      <c r="C41" s="3" t="s">
        <v>81</v>
      </c>
      <c r="D41" s="4" t="s">
        <v>82</v>
      </c>
      <c r="E41" s="2" t="s">
        <v>18</v>
      </c>
      <c r="F41" s="5"/>
      <c r="G41" s="5"/>
      <c r="H41" s="5"/>
    </row>
    <row r="42" spans="1:8" ht="24" customHeight="1" x14ac:dyDescent="0.25">
      <c r="A42" s="6">
        <v>32</v>
      </c>
      <c r="B42" s="6" t="s">
        <v>60</v>
      </c>
      <c r="C42" s="7" t="s">
        <v>83</v>
      </c>
      <c r="D42" s="8" t="s">
        <v>84</v>
      </c>
      <c r="E42" s="6" t="s">
        <v>18</v>
      </c>
      <c r="F42" s="9"/>
      <c r="G42" s="9"/>
      <c r="H42" s="9"/>
    </row>
    <row r="43" spans="1:8" ht="24" customHeight="1" x14ac:dyDescent="0.25">
      <c r="A43" s="2">
        <v>33</v>
      </c>
      <c r="B43" s="2" t="s">
        <v>60</v>
      </c>
      <c r="C43" s="3" t="s">
        <v>85</v>
      </c>
      <c r="D43" s="4" t="s">
        <v>86</v>
      </c>
      <c r="E43" s="2" t="s">
        <v>18</v>
      </c>
      <c r="F43" s="5"/>
      <c r="G43" s="5"/>
      <c r="H43" s="5"/>
    </row>
    <row r="44" spans="1:8" ht="24" customHeight="1" x14ac:dyDescent="0.25">
      <c r="A44" s="6">
        <v>34</v>
      </c>
      <c r="B44" s="6" t="s">
        <v>60</v>
      </c>
      <c r="C44" s="7" t="s">
        <v>87</v>
      </c>
      <c r="D44" s="8" t="s">
        <v>88</v>
      </c>
      <c r="E44" s="6" t="s">
        <v>18</v>
      </c>
      <c r="F44" s="9"/>
      <c r="G44" s="9"/>
      <c r="H44" s="9"/>
    </row>
    <row r="45" spans="1:8" ht="24" customHeight="1" x14ac:dyDescent="0.25">
      <c r="A45" s="2">
        <v>35</v>
      </c>
      <c r="B45" s="2" t="s">
        <v>60</v>
      </c>
      <c r="C45" s="3" t="s">
        <v>89</v>
      </c>
      <c r="D45" s="4" t="s">
        <v>90</v>
      </c>
      <c r="E45" s="2" t="s">
        <v>18</v>
      </c>
      <c r="F45" s="5"/>
      <c r="G45" s="5"/>
      <c r="H45" s="5"/>
    </row>
    <row r="46" spans="1:8" ht="24" customHeight="1" x14ac:dyDescent="0.25">
      <c r="A46" s="6">
        <v>36</v>
      </c>
      <c r="B46" s="6" t="s">
        <v>60</v>
      </c>
      <c r="C46" s="7" t="s">
        <v>91</v>
      </c>
      <c r="D46" s="8" t="s">
        <v>92</v>
      </c>
      <c r="E46" s="6" t="s">
        <v>18</v>
      </c>
      <c r="F46" s="9"/>
      <c r="G46" s="9"/>
      <c r="H46" s="9"/>
    </row>
    <row r="47" spans="1:8" ht="24" customHeight="1" x14ac:dyDescent="0.25">
      <c r="A47" s="2">
        <v>37</v>
      </c>
      <c r="B47" s="2" t="s">
        <v>60</v>
      </c>
      <c r="C47" s="3" t="s">
        <v>93</v>
      </c>
      <c r="D47" s="4" t="s">
        <v>94</v>
      </c>
      <c r="E47" s="2" t="s">
        <v>18</v>
      </c>
      <c r="F47" s="5"/>
      <c r="G47" s="5"/>
      <c r="H47" s="5"/>
    </row>
    <row r="48" spans="1:8" ht="24" customHeight="1" x14ac:dyDescent="0.25">
      <c r="A48" s="6">
        <v>38</v>
      </c>
      <c r="B48" s="6" t="s">
        <v>60</v>
      </c>
      <c r="C48" s="7" t="s">
        <v>95</v>
      </c>
      <c r="D48" s="8" t="s">
        <v>96</v>
      </c>
      <c r="E48" s="6" t="s">
        <v>18</v>
      </c>
      <c r="F48" s="9"/>
      <c r="G48" s="9"/>
      <c r="H48" s="9"/>
    </row>
    <row r="49" spans="1:8" ht="24" customHeight="1" x14ac:dyDescent="0.25">
      <c r="A49" s="2">
        <v>39</v>
      </c>
      <c r="B49" s="2" t="s">
        <v>60</v>
      </c>
      <c r="C49" s="3" t="s">
        <v>97</v>
      </c>
      <c r="D49" s="4" t="s">
        <v>98</v>
      </c>
      <c r="E49" s="2" t="s">
        <v>18</v>
      </c>
      <c r="F49" s="5"/>
      <c r="G49" s="5"/>
      <c r="H49" s="5"/>
    </row>
    <row r="50" spans="1:8" ht="26.1" customHeight="1" x14ac:dyDescent="0.25">
      <c r="A50" s="12" t="s">
        <v>99</v>
      </c>
      <c r="B50" s="11"/>
      <c r="C50" s="11"/>
      <c r="D50" s="11"/>
      <c r="E50" s="11"/>
      <c r="F50" s="11"/>
      <c r="G50" s="11"/>
      <c r="H50" s="11"/>
    </row>
    <row r="51" spans="1:8" ht="24" customHeight="1" x14ac:dyDescent="0.25">
      <c r="A51" s="6">
        <v>40</v>
      </c>
      <c r="B51" s="6" t="s">
        <v>100</v>
      </c>
      <c r="C51" s="7" t="s">
        <v>101</v>
      </c>
      <c r="D51" s="8" t="s">
        <v>102</v>
      </c>
      <c r="E51" s="6" t="s">
        <v>18</v>
      </c>
      <c r="F51" s="9"/>
      <c r="G51" s="9"/>
      <c r="H51" s="9"/>
    </row>
    <row r="52" spans="1:8" ht="24" customHeight="1" x14ac:dyDescent="0.25">
      <c r="A52" s="2">
        <v>41</v>
      </c>
      <c r="B52" s="2" t="s">
        <v>100</v>
      </c>
      <c r="C52" s="3" t="s">
        <v>103</v>
      </c>
      <c r="D52" s="4" t="s">
        <v>104</v>
      </c>
      <c r="E52" s="2" t="s">
        <v>18</v>
      </c>
      <c r="F52" s="5"/>
      <c r="G52" s="5"/>
      <c r="H52" s="5"/>
    </row>
    <row r="53" spans="1:8" ht="24" customHeight="1" x14ac:dyDescent="0.25">
      <c r="A53" s="6">
        <v>42</v>
      </c>
      <c r="B53" s="6" t="s">
        <v>100</v>
      </c>
      <c r="C53" s="7" t="s">
        <v>105</v>
      </c>
      <c r="D53" s="8" t="s">
        <v>106</v>
      </c>
      <c r="E53" s="6" t="s">
        <v>18</v>
      </c>
      <c r="F53" s="9"/>
      <c r="G53" s="9"/>
      <c r="H53" s="9"/>
    </row>
    <row r="54" spans="1:8" ht="24" customHeight="1" x14ac:dyDescent="0.25">
      <c r="A54" s="2">
        <v>43</v>
      </c>
      <c r="B54" s="2" t="s">
        <v>100</v>
      </c>
      <c r="C54" s="3" t="s">
        <v>107</v>
      </c>
      <c r="D54" s="4" t="s">
        <v>108</v>
      </c>
      <c r="E54" s="2" t="s">
        <v>18</v>
      </c>
      <c r="F54" s="5"/>
      <c r="G54" s="5"/>
      <c r="H54" s="5"/>
    </row>
    <row r="55" spans="1:8" ht="24" customHeight="1" x14ac:dyDescent="0.25">
      <c r="A55" s="6">
        <v>44</v>
      </c>
      <c r="B55" s="6" t="s">
        <v>100</v>
      </c>
      <c r="C55" s="7" t="s">
        <v>109</v>
      </c>
      <c r="D55" s="8" t="s">
        <v>110</v>
      </c>
      <c r="E55" s="6" t="s">
        <v>18</v>
      </c>
      <c r="F55" s="9"/>
      <c r="G55" s="9"/>
      <c r="H55" s="9"/>
    </row>
    <row r="56" spans="1:8" ht="24" customHeight="1" x14ac:dyDescent="0.25">
      <c r="A56" s="2">
        <v>45</v>
      </c>
      <c r="B56" s="2" t="s">
        <v>100</v>
      </c>
      <c r="C56" s="3" t="s">
        <v>111</v>
      </c>
      <c r="D56" s="4" t="s">
        <v>112</v>
      </c>
      <c r="E56" s="2" t="s">
        <v>18</v>
      </c>
      <c r="F56" s="5"/>
      <c r="G56" s="5"/>
      <c r="H56" s="5"/>
    </row>
    <row r="57" spans="1:8" ht="24" customHeight="1" x14ac:dyDescent="0.25">
      <c r="A57" s="6">
        <v>46</v>
      </c>
      <c r="B57" s="6" t="s">
        <v>100</v>
      </c>
      <c r="C57" s="7" t="s">
        <v>113</v>
      </c>
      <c r="D57" s="8" t="s">
        <v>114</v>
      </c>
      <c r="E57" s="6" t="s">
        <v>18</v>
      </c>
      <c r="F57" s="9"/>
      <c r="G57" s="9"/>
      <c r="H57" s="9"/>
    </row>
    <row r="58" spans="1:8" ht="26.1" customHeight="1" x14ac:dyDescent="0.25">
      <c r="A58" s="24" t="s">
        <v>115</v>
      </c>
      <c r="B58" s="11"/>
      <c r="C58" s="11"/>
      <c r="D58" s="11"/>
      <c r="E58" s="11"/>
      <c r="F58" s="11"/>
      <c r="G58" s="11"/>
      <c r="H58" s="11"/>
    </row>
    <row r="59" spans="1:8" ht="24" customHeight="1" x14ac:dyDescent="0.25">
      <c r="A59" s="2">
        <v>47</v>
      </c>
      <c r="B59" s="2" t="s">
        <v>116</v>
      </c>
      <c r="C59" s="3" t="s">
        <v>117</v>
      </c>
      <c r="D59" s="4" t="s">
        <v>118</v>
      </c>
      <c r="E59" s="2" t="s">
        <v>18</v>
      </c>
      <c r="F59" s="5"/>
      <c r="G59" s="5"/>
      <c r="H59" s="5"/>
    </row>
    <row r="60" spans="1:8" ht="24" customHeight="1" x14ac:dyDescent="0.25">
      <c r="A60" s="6">
        <v>48</v>
      </c>
      <c r="B60" s="6" t="s">
        <v>116</v>
      </c>
      <c r="C60" s="7" t="s">
        <v>119</v>
      </c>
      <c r="D60" s="8" t="s">
        <v>120</v>
      </c>
      <c r="E60" s="6" t="s">
        <v>18</v>
      </c>
      <c r="F60" s="9"/>
      <c r="G60" s="9"/>
      <c r="H60" s="9"/>
    </row>
    <row r="61" spans="1:8" ht="24" customHeight="1" x14ac:dyDescent="0.25">
      <c r="A61" s="2">
        <v>49</v>
      </c>
      <c r="B61" s="2" t="s">
        <v>116</v>
      </c>
      <c r="C61" s="3" t="s">
        <v>121</v>
      </c>
      <c r="D61" s="4" t="s">
        <v>122</v>
      </c>
      <c r="E61" s="2" t="s">
        <v>18</v>
      </c>
      <c r="F61" s="5"/>
      <c r="G61" s="5"/>
      <c r="H61" s="5"/>
    </row>
    <row r="62" spans="1:8" ht="24" customHeight="1" x14ac:dyDescent="0.25">
      <c r="A62" s="6">
        <v>50</v>
      </c>
      <c r="B62" s="6" t="s">
        <v>116</v>
      </c>
      <c r="C62" s="7" t="s">
        <v>123</v>
      </c>
      <c r="D62" s="8" t="s">
        <v>124</v>
      </c>
      <c r="E62" s="6" t="s">
        <v>18</v>
      </c>
      <c r="F62" s="9"/>
      <c r="G62" s="9"/>
      <c r="H62" s="9"/>
    </row>
    <row r="63" spans="1:8" ht="24" customHeight="1" x14ac:dyDescent="0.25">
      <c r="A63" s="2">
        <v>51</v>
      </c>
      <c r="B63" s="2" t="s">
        <v>116</v>
      </c>
      <c r="C63" s="3" t="s">
        <v>125</v>
      </c>
      <c r="D63" s="4" t="s">
        <v>126</v>
      </c>
      <c r="E63" s="2" t="s">
        <v>18</v>
      </c>
      <c r="F63" s="5"/>
      <c r="G63" s="5"/>
      <c r="H63" s="5"/>
    </row>
    <row r="64" spans="1:8" ht="24" customHeight="1" x14ac:dyDescent="0.25">
      <c r="A64" s="6">
        <v>52</v>
      </c>
      <c r="B64" s="6" t="s">
        <v>116</v>
      </c>
      <c r="C64" s="7" t="s">
        <v>127</v>
      </c>
      <c r="D64" s="8" t="s">
        <v>128</v>
      </c>
      <c r="E64" s="6" t="s">
        <v>18</v>
      </c>
      <c r="F64" s="9"/>
      <c r="G64" s="9"/>
      <c r="H64" s="9"/>
    </row>
    <row r="65" spans="1:8" ht="24" customHeight="1" x14ac:dyDescent="0.25">
      <c r="A65" s="2">
        <v>53</v>
      </c>
      <c r="B65" s="2" t="s">
        <v>116</v>
      </c>
      <c r="C65" s="3" t="s">
        <v>129</v>
      </c>
      <c r="D65" s="4" t="s">
        <v>130</v>
      </c>
      <c r="E65" s="2" t="s">
        <v>18</v>
      </c>
      <c r="F65" s="5"/>
      <c r="G65" s="5"/>
      <c r="H65" s="5"/>
    </row>
    <row r="66" spans="1:8" ht="24" customHeight="1" x14ac:dyDescent="0.25">
      <c r="A66" s="6">
        <v>54</v>
      </c>
      <c r="B66" s="6" t="s">
        <v>116</v>
      </c>
      <c r="C66" s="7" t="s">
        <v>131</v>
      </c>
      <c r="D66" s="8" t="s">
        <v>132</v>
      </c>
      <c r="E66" s="6" t="s">
        <v>18</v>
      </c>
      <c r="F66" s="9"/>
      <c r="G66" s="9"/>
      <c r="H66" s="9"/>
    </row>
    <row r="67" spans="1:8" ht="26.1" customHeight="1" x14ac:dyDescent="0.25">
      <c r="A67" s="14" t="s">
        <v>133</v>
      </c>
      <c r="B67" s="11"/>
      <c r="C67" s="11"/>
      <c r="D67" s="11"/>
      <c r="E67" s="11"/>
      <c r="F67" s="11"/>
      <c r="G67" s="11"/>
      <c r="H67" s="11"/>
    </row>
    <row r="68" spans="1:8" ht="24" customHeight="1" x14ac:dyDescent="0.25">
      <c r="A68" s="2">
        <v>55</v>
      </c>
      <c r="B68" s="2" t="s">
        <v>134</v>
      </c>
      <c r="C68" s="3" t="s">
        <v>135</v>
      </c>
      <c r="D68" s="4" t="s">
        <v>136</v>
      </c>
      <c r="E68" s="2" t="s">
        <v>18</v>
      </c>
      <c r="F68" s="5"/>
      <c r="G68" s="5"/>
      <c r="H68" s="5"/>
    </row>
  </sheetData>
  <mergeCells count="16">
    <mergeCell ref="A1:H1"/>
    <mergeCell ref="A8:H8"/>
    <mergeCell ref="A58:H58"/>
    <mergeCell ref="C4:D4"/>
    <mergeCell ref="A67:H67"/>
    <mergeCell ref="A20:H20"/>
    <mergeCell ref="A2:H2"/>
    <mergeCell ref="C5:D5"/>
    <mergeCell ref="A5:B5"/>
    <mergeCell ref="G5:H5"/>
    <mergeCell ref="E5:F5"/>
    <mergeCell ref="A4:B4"/>
    <mergeCell ref="G4:H4"/>
    <mergeCell ref="E4:F4"/>
    <mergeCell ref="A50:H50"/>
    <mergeCell ref="A30:H30"/>
  </mergeCells>
  <dataValidations count="1">
    <dataValidation type="list" allowBlank="1" sqref="E9 E10 E11 E12 E13 E14 E15 E16 E17 E18 E19 E21 E22 E23 E24 E25 E26 E27 E28 E29 E31 E32 E33 E34 E35 E36 E37 E38 E39 E40 E41 E42 E43 E44 E45 E46 E47 E48 E49 E51 E52 E53 E54 E55 E56 E57 E59 E60 E61 E62 E63 E64 E65 E66 E68" xr:uid="{00000000-0002-0000-0000-000000000000}">
      <formula1>"☑ ĐẠT (Có máy tại xưởng), ☐ KHÔNG (Chưa làm), ⏳ ĐANG ĐẦU TƯ, 🤝 LIÊN KẾT GIA CÔNG"</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Xometry Competencies Survey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Kai Ly</cp:lastModifiedBy>
  <dcterms:created xsi:type="dcterms:W3CDTF">2026-08-21T10:04:12Z</dcterms:created>
  <dcterms:modified xsi:type="dcterms:W3CDTF">2026-08-21T10:06:14Z</dcterms:modified>
</cp:coreProperties>
</file>